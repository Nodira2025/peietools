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ofesor Franco\Desktop\Santiago\"/>
    </mc:Choice>
  </mc:AlternateContent>
  <xr:revisionPtr revIDLastSave="0" documentId="13_ncr:1_{06DBAAFB-311C-4927-83C0-24738D0F0825}" xr6:coauthVersionLast="47" xr6:coauthVersionMax="47" xr10:uidLastSave="{00000000-0000-0000-0000-000000000000}"/>
  <bookViews>
    <workbookView xWindow="-120" yWindow="-120" windowWidth="20640" windowHeight="11160" activeTab="2" xr2:uid="{00000000-000D-0000-FFFF-FFFF00000000}"/>
  </bookViews>
  <sheets>
    <sheet name="RELEVAMIENTO DE HERRAMIENTAS AL" sheetId="1" r:id="rId1"/>
    <sheet name="OBRAS ACTIVAS" sheetId="2" r:id="rId2"/>
    <sheet name="DDBB Operari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3" i="1" l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<sst xmlns="http://schemas.openxmlformats.org/spreadsheetml/2006/main" count="266" uniqueCount="152">
  <si>
    <t>Fecha</t>
  </si>
  <si>
    <t>Obra ubicación</t>
  </si>
  <si>
    <t>Herramienta</t>
  </si>
  <si>
    <t>Detalle/Modelo</t>
  </si>
  <si>
    <t>ID</t>
  </si>
  <si>
    <t>ID-Herramieta-Marca</t>
  </si>
  <si>
    <t>Cantidad</t>
  </si>
  <si>
    <t>Observaciones</t>
  </si>
  <si>
    <t>CANTARES</t>
  </si>
  <si>
    <t>Amoladora (4 1/2")</t>
  </si>
  <si>
    <t>Hamilton</t>
  </si>
  <si>
    <t>A-41/2-01</t>
  </si>
  <si>
    <t xml:space="preserve">DOMUS </t>
  </si>
  <si>
    <t>Skil</t>
  </si>
  <si>
    <t xml:space="preserve">A-41/2-O2 </t>
  </si>
  <si>
    <t>QUALITY - Barrio Norte</t>
  </si>
  <si>
    <t xml:space="preserve">A-41/2-O3 </t>
  </si>
  <si>
    <t>MANTENIMIENTO</t>
  </si>
  <si>
    <t>Black&amp;Decker</t>
  </si>
  <si>
    <t>A-41/2-O4</t>
  </si>
  <si>
    <t>OASIS</t>
  </si>
  <si>
    <t>Amoladora (7")</t>
  </si>
  <si>
    <t>Total</t>
  </si>
  <si>
    <t>A-7-01</t>
  </si>
  <si>
    <t>A-7-02</t>
  </si>
  <si>
    <t>Cuerpo Andamio 1</t>
  </si>
  <si>
    <t>ANC-01</t>
  </si>
  <si>
    <t>Cuerpo Andamio 2</t>
  </si>
  <si>
    <t>ANC-02</t>
  </si>
  <si>
    <t>Cuerpo Andamio 3</t>
  </si>
  <si>
    <t>ANC-03</t>
  </si>
  <si>
    <t>Arnés</t>
  </si>
  <si>
    <t>Amarillo</t>
  </si>
  <si>
    <t>ARN-01</t>
  </si>
  <si>
    <t>Escalera 3</t>
  </si>
  <si>
    <t>Cant peldaños</t>
  </si>
  <si>
    <t>ESC-03</t>
  </si>
  <si>
    <t>Escalera 4</t>
  </si>
  <si>
    <t>ESC-04</t>
  </si>
  <si>
    <t>Escalera 5</t>
  </si>
  <si>
    <t>ESC-05</t>
  </si>
  <si>
    <t>Escalera 1</t>
  </si>
  <si>
    <t>ESC01</t>
  </si>
  <si>
    <t>Escalera 2</t>
  </si>
  <si>
    <t>ESC02</t>
  </si>
  <si>
    <t>Garrafa</t>
  </si>
  <si>
    <t>Negra</t>
  </si>
  <si>
    <t>GA-01</t>
  </si>
  <si>
    <t>Roja</t>
  </si>
  <si>
    <t>GA-02</t>
  </si>
  <si>
    <t>Pinza de identar</t>
  </si>
  <si>
    <t>PI-01</t>
  </si>
  <si>
    <t>PI-02</t>
  </si>
  <si>
    <t>Resorte</t>
  </si>
  <si>
    <t>20mm (3/4")</t>
  </si>
  <si>
    <t>RES-20-01</t>
  </si>
  <si>
    <t>22mm (7/8")</t>
  </si>
  <si>
    <t>RES-22-01</t>
  </si>
  <si>
    <t>25mm (1")</t>
  </si>
  <si>
    <t>RES-25-01</t>
  </si>
  <si>
    <t>Rotomartillo demoledor</t>
  </si>
  <si>
    <t>Barovo</t>
  </si>
  <si>
    <t>RTD01</t>
  </si>
  <si>
    <t>Rotomartillo percutor</t>
  </si>
  <si>
    <t>RTP-01</t>
  </si>
  <si>
    <t>Tijera corta cable</t>
  </si>
  <si>
    <t>TCC-01</t>
  </si>
  <si>
    <t>TCC-02</t>
  </si>
  <si>
    <t>Taladro percutor</t>
  </si>
  <si>
    <t xml:space="preserve">TP-01 </t>
  </si>
  <si>
    <t>Taladro chico</t>
  </si>
  <si>
    <t>TP-02</t>
  </si>
  <si>
    <t>Taladro rotopercutor</t>
  </si>
  <si>
    <t>Dewalt</t>
  </si>
  <si>
    <t>TRP-01</t>
  </si>
  <si>
    <t>TRP-02</t>
  </si>
  <si>
    <t>AEROPUERTO</t>
  </si>
  <si>
    <t>Escalera</t>
  </si>
  <si>
    <t>ESC-06</t>
  </si>
  <si>
    <t>OBRA</t>
  </si>
  <si>
    <t>CLIENTE</t>
  </si>
  <si>
    <t>QUALITY BN</t>
  </si>
  <si>
    <t>AVANCO</t>
  </si>
  <si>
    <t>CLINICA MAYO</t>
  </si>
  <si>
    <t>LAVILLA</t>
  </si>
  <si>
    <t>ONE RESIDENCE</t>
  </si>
  <si>
    <t>DUO</t>
  </si>
  <si>
    <t>LINK</t>
  </si>
  <si>
    <t>LIVE</t>
  </si>
  <si>
    <t>DOMUS</t>
  </si>
  <si>
    <t>VIAMO</t>
  </si>
  <si>
    <t>CIRCUNVALACION</t>
  </si>
  <si>
    <t>SANGON CORP</t>
  </si>
  <si>
    <t>COUNTRY SAN PABLO 
(TORRE 3 Y 4)</t>
  </si>
  <si>
    <t>ATRIO</t>
  </si>
  <si>
    <t>ANZORENA
(BAMBOO)</t>
  </si>
  <si>
    <t>CYMA</t>
  </si>
  <si>
    <t>#300 TORRE 2</t>
  </si>
  <si>
    <t>POSE GAMA</t>
  </si>
  <si>
    <t>WALDHAUSS - COLETTI</t>
  </si>
  <si>
    <t>EZE COLETTI</t>
  </si>
  <si>
    <t>ARQUITECTOS Y ASOC.</t>
  </si>
  <si>
    <t>HECTOR AUAD</t>
  </si>
  <si>
    <t>ONE BOULEVARD</t>
  </si>
  <si>
    <t>ALBERDI 152</t>
  </si>
  <si>
    <t>LA RIOJA 846</t>
  </si>
  <si>
    <t>RUIZ GRAVANAGO</t>
  </si>
  <si>
    <t>PEDRO DE VILLALBA</t>
  </si>
  <si>
    <t>DITINIS</t>
  </si>
  <si>
    <t>AUSENTES / LIC. MEDICA</t>
  </si>
  <si>
    <t>INTERNO</t>
  </si>
  <si>
    <t>Categoría</t>
  </si>
  <si>
    <t>Nombre</t>
  </si>
  <si>
    <t>OBRA ACUTAL</t>
  </si>
  <si>
    <t>Oficial</t>
  </si>
  <si>
    <t>Aguirresarobe, Marcelo</t>
  </si>
  <si>
    <t>Oficial especializado</t>
  </si>
  <si>
    <t>Ale, Héctor Antonio</t>
  </si>
  <si>
    <t>Altamiranda, Esteban German</t>
  </si>
  <si>
    <t>Medio Oficial</t>
  </si>
  <si>
    <t>Blanco Medina, Juan José</t>
  </si>
  <si>
    <t>Ayudante</t>
  </si>
  <si>
    <t>Blanco Medina, Yonatan Gabriel</t>
  </si>
  <si>
    <t>Carrizo, Luis Fabián</t>
  </si>
  <si>
    <t>Castro, Gustavo Mauricio</t>
  </si>
  <si>
    <t>#300</t>
  </si>
  <si>
    <t>Catán, Cristian Alejandro</t>
  </si>
  <si>
    <t>Catán, David Nazareno</t>
  </si>
  <si>
    <t>Cruz, Gustavo Manuel</t>
  </si>
  <si>
    <t>De la Rosa, Christian</t>
  </si>
  <si>
    <t>Espinoza, Facundo</t>
  </si>
  <si>
    <t>Flores, Hector Alexis</t>
  </si>
  <si>
    <t>Ibañez, Manuel Enrique</t>
  </si>
  <si>
    <t>Jimenez, Santiago Emanuel</t>
  </si>
  <si>
    <t>Ledesma, Marcos German</t>
  </si>
  <si>
    <t>Lizarraga, Gustavo Matías</t>
  </si>
  <si>
    <t>Lobos, Eduardo Marcelo</t>
  </si>
  <si>
    <t>Lopez, Leonardo Andrés</t>
  </si>
  <si>
    <t>Lopez, Nicolas Eduardo</t>
  </si>
  <si>
    <t>Lopez, Ramon Edgardo</t>
  </si>
  <si>
    <t>Lucena, Enzo Emanuel</t>
  </si>
  <si>
    <t>Martinez, Guillermo Ariel</t>
  </si>
  <si>
    <t>Medina, Franco Daniel</t>
  </si>
  <si>
    <t>Mendoza, Rene Néstor</t>
  </si>
  <si>
    <t>Olivera, Cristhian Gastón</t>
  </si>
  <si>
    <t>LOSA 
LIVE</t>
  </si>
  <si>
    <t>Paz, Jorge Gastón</t>
  </si>
  <si>
    <t>Rivero, Leandro Nicolas</t>
  </si>
  <si>
    <t>Rojas, Carlos Daniel</t>
  </si>
  <si>
    <t>Torres, Jorge Manuel</t>
  </si>
  <si>
    <t>Ybañez, Pablo Alejandro</t>
  </si>
  <si>
    <t>Alvarez, Carlos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</si>
</sst>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"/>
  </numFmts>
  <fonts count="9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12"/>
      <color rgb="FF000000"/>
      <name val="Calibri"/>
    </font>
    <font>
      <b/>
      <sz val="18"/>
      <color theme="1"/>
      <name val="Arial"/>
      <scheme val="minor"/>
    </font>
    <font>
      <b/>
      <i/>
      <sz val="12"/>
      <color theme="1"/>
      <name val="Arial"/>
      <scheme val="minor"/>
    </font>
    <font>
      <sz val="12"/>
      <color rgb="FF000000"/>
      <name val="Calibri"/>
    </font>
    <font>
      <b/>
      <i/>
      <sz val="15"/>
      <color theme="1"/>
      <name val="Arial"/>
      <scheme val="minor"/>
    </font>
    <font>
      <b/>
      <sz val="15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57200" cy="2952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286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286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3"/>
  <sheetViews>
    <sheetView workbookViewId="0">
      <selection activeCell="D31" sqref="D31"/>
    </sheetView>
  </sheetViews>
  <sheetFormatPr baseColWidth="10" defaultColWidth="12.5703125" defaultRowHeight="15.75" customHeight="1" x14ac:dyDescent="0.2"/>
  <cols>
    <col min="1" max="1" width="7.28515625" customWidth="1"/>
    <col min="2" max="2" width="18.7109375" customWidth="1"/>
    <col min="3" max="3" width="24.140625" customWidth="1"/>
    <col min="4" max="4" width="23" customWidth="1"/>
    <col min="5" max="5" width="17.5703125" customWidth="1"/>
    <col min="6" max="6" width="12.5703125" bestFit="1" customWidth="1"/>
    <col min="7" max="7" width="50.140625" bestFit="1" customWidth="1"/>
    <col min="8" max="8" width="12" customWidth="1"/>
    <col min="9" max="9" width="17.85546875" customWidth="1"/>
    <col min="10" max="10" width="18.5703125" customWidth="1"/>
    <col min="11" max="11" width="25.42578125" customWidth="1"/>
    <col min="12" max="12" width="16" customWidth="1"/>
    <col min="13" max="13" width="20.28515625" customWidth="1"/>
  </cols>
  <sheetData>
    <row r="1" spans="1:26" ht="66" customHeight="1" x14ac:dyDescent="0.25">
      <c r="A1" s="19"/>
      <c r="B1" s="20"/>
      <c r="C1" s="20"/>
      <c r="D1" s="20"/>
      <c r="E1" s="20"/>
      <c r="F1" s="20"/>
      <c r="G1" s="20"/>
      <c r="H1" s="20"/>
      <c r="I1" s="20"/>
      <c r="J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4"/>
    </row>
    <row r="3" spans="1:26" x14ac:dyDescent="0.25">
      <c r="A3" s="3">
        <v>1</v>
      </c>
      <c r="B3" s="5">
        <v>46139</v>
      </c>
      <c r="C3" s="6" t="s">
        <v>8</v>
      </c>
      <c r="D3" s="7" t="s">
        <v>9</v>
      </c>
      <c r="E3" s="7" t="s">
        <v>10</v>
      </c>
      <c r="F3" s="6" t="s">
        <v>11</v>
      </c>
      <c r="G3" s="7" t="str">
        <f t="shared" ref="G3:G33" si="0">CONCATENATE(F3," // ",D3," - ",E3)</f>
        <v>A-41/2-01 // Amoladora (4 1/2") - Hamilton</v>
      </c>
      <c r="H3" s="6">
        <v>1</v>
      </c>
      <c r="I3" s="2"/>
      <c r="J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>
        <v>2</v>
      </c>
      <c r="B4" s="5">
        <v>46139</v>
      </c>
      <c r="C4" s="6" t="s">
        <v>12</v>
      </c>
      <c r="D4" s="7" t="s">
        <v>9</v>
      </c>
      <c r="E4" s="7" t="s">
        <v>13</v>
      </c>
      <c r="F4" s="6" t="s">
        <v>14</v>
      </c>
      <c r="G4" s="7" t="str">
        <f t="shared" si="0"/>
        <v>A-41/2-O2  // Amoladora (4 1/2") - Skil</v>
      </c>
      <c r="H4" s="6">
        <v>1</v>
      </c>
      <c r="I4" s="2"/>
      <c r="J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3">
        <v>3</v>
      </c>
      <c r="B5" s="5">
        <v>46139</v>
      </c>
      <c r="C5" s="6" t="s">
        <v>15</v>
      </c>
      <c r="D5" s="7" t="s">
        <v>9</v>
      </c>
      <c r="E5" s="7" t="s">
        <v>10</v>
      </c>
      <c r="F5" s="6" t="s">
        <v>16</v>
      </c>
      <c r="G5" s="7" t="str">
        <f t="shared" si="0"/>
        <v>A-41/2-O3  // Amoladora (4 1/2") - Hamilton</v>
      </c>
      <c r="H5" s="6">
        <v>1</v>
      </c>
      <c r="I5" s="2"/>
      <c r="J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3">
        <v>4</v>
      </c>
      <c r="B6" s="8">
        <v>46146</v>
      </c>
      <c r="C6" s="6" t="s">
        <v>17</v>
      </c>
      <c r="D6" s="7" t="s">
        <v>9</v>
      </c>
      <c r="E6" s="6" t="s">
        <v>18</v>
      </c>
      <c r="F6" s="6" t="s">
        <v>19</v>
      </c>
      <c r="G6" s="7" t="str">
        <f t="shared" si="0"/>
        <v>A-41/2-O4 // Amoladora (4 1/2") - Black&amp;Decker</v>
      </c>
      <c r="H6" s="2"/>
      <c r="I6" s="2"/>
      <c r="J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3">
        <v>5</v>
      </c>
      <c r="B7" s="5">
        <v>46139</v>
      </c>
      <c r="C7" s="6" t="s">
        <v>20</v>
      </c>
      <c r="D7" s="7" t="s">
        <v>21</v>
      </c>
      <c r="E7" s="7" t="s">
        <v>22</v>
      </c>
      <c r="F7" s="6" t="s">
        <v>23</v>
      </c>
      <c r="G7" s="7" t="str">
        <f t="shared" si="0"/>
        <v>A-7-01 // Amoladora (7") - Total</v>
      </c>
      <c r="H7" s="6">
        <v>1</v>
      </c>
      <c r="I7" s="2"/>
      <c r="J7" s="9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3">
        <v>6</v>
      </c>
      <c r="B8" s="5">
        <v>46139</v>
      </c>
      <c r="C8" s="6" t="s">
        <v>8</v>
      </c>
      <c r="D8" s="7" t="s">
        <v>21</v>
      </c>
      <c r="E8" s="7" t="s">
        <v>22</v>
      </c>
      <c r="F8" s="6" t="s">
        <v>24</v>
      </c>
      <c r="G8" s="7" t="str">
        <f t="shared" si="0"/>
        <v>A-7-02 // Amoladora (7") - Total</v>
      </c>
      <c r="H8" s="6">
        <v>1</v>
      </c>
      <c r="I8" s="2"/>
      <c r="J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3">
        <v>7</v>
      </c>
      <c r="B9" s="5">
        <v>46139</v>
      </c>
      <c r="C9" s="6" t="s">
        <v>8</v>
      </c>
      <c r="D9" s="7" t="s">
        <v>25</v>
      </c>
      <c r="E9" s="7"/>
      <c r="F9" s="6" t="s">
        <v>26</v>
      </c>
      <c r="G9" s="7" t="str">
        <f t="shared" si="0"/>
        <v xml:space="preserve">ANC-01 // Cuerpo Andamio 1 - </v>
      </c>
      <c r="H9" s="6">
        <v>1</v>
      </c>
      <c r="I9" s="2"/>
      <c r="J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>
        <v>8</v>
      </c>
      <c r="B10" s="5">
        <v>46139</v>
      </c>
      <c r="C10" s="6" t="s">
        <v>8</v>
      </c>
      <c r="D10" s="7" t="s">
        <v>27</v>
      </c>
      <c r="E10" s="7"/>
      <c r="F10" s="6" t="s">
        <v>28</v>
      </c>
      <c r="G10" s="7" t="str">
        <f t="shared" si="0"/>
        <v xml:space="preserve">ANC-02 // Cuerpo Andamio 2 - </v>
      </c>
      <c r="H10" s="6">
        <v>1</v>
      </c>
      <c r="I10" s="2"/>
      <c r="J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3">
        <v>9</v>
      </c>
      <c r="B11" s="5">
        <v>46139</v>
      </c>
      <c r="C11" s="6" t="s">
        <v>8</v>
      </c>
      <c r="D11" s="7" t="s">
        <v>29</v>
      </c>
      <c r="E11" s="7"/>
      <c r="F11" s="6" t="s">
        <v>30</v>
      </c>
      <c r="G11" s="7" t="str">
        <f t="shared" si="0"/>
        <v xml:space="preserve">ANC-03 // Cuerpo Andamio 3 - </v>
      </c>
      <c r="H11" s="6">
        <v>1</v>
      </c>
      <c r="I11" s="2"/>
      <c r="J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3">
        <v>10</v>
      </c>
      <c r="B12" s="5">
        <v>46139</v>
      </c>
      <c r="C12" s="6" t="s">
        <v>8</v>
      </c>
      <c r="D12" s="7" t="s">
        <v>31</v>
      </c>
      <c r="E12" s="7" t="s">
        <v>32</v>
      </c>
      <c r="F12" s="6" t="s">
        <v>33</v>
      </c>
      <c r="G12" s="7" t="str">
        <f t="shared" si="0"/>
        <v>ARN-01 // Arnés - Amarillo</v>
      </c>
      <c r="H12" s="6">
        <v>1</v>
      </c>
      <c r="I12" s="2"/>
      <c r="J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3">
        <v>10</v>
      </c>
      <c r="B13" s="5">
        <v>46139</v>
      </c>
      <c r="C13" s="6" t="s">
        <v>12</v>
      </c>
      <c r="D13" s="7" t="s">
        <v>34</v>
      </c>
      <c r="E13" s="7" t="s">
        <v>35</v>
      </c>
      <c r="F13" s="6" t="s">
        <v>36</v>
      </c>
      <c r="G13" s="7" t="str">
        <f t="shared" si="0"/>
        <v>ESC-03 // Escalera 3 - Cant peldaños</v>
      </c>
      <c r="H13" s="6">
        <v>1</v>
      </c>
      <c r="I13" s="2"/>
      <c r="J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3">
        <v>10</v>
      </c>
      <c r="B14" s="5">
        <v>46139</v>
      </c>
      <c r="C14" s="6" t="s">
        <v>12</v>
      </c>
      <c r="D14" s="7" t="s">
        <v>37</v>
      </c>
      <c r="E14" s="7" t="s">
        <v>35</v>
      </c>
      <c r="F14" s="6" t="s">
        <v>38</v>
      </c>
      <c r="G14" s="7" t="str">
        <f t="shared" si="0"/>
        <v>ESC-04 // Escalera 4 - Cant peldaños</v>
      </c>
      <c r="H14" s="6">
        <v>1</v>
      </c>
      <c r="I14" s="2"/>
      <c r="J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3">
        <v>11</v>
      </c>
      <c r="B15" s="5">
        <v>46139</v>
      </c>
      <c r="C15" s="6" t="s">
        <v>12</v>
      </c>
      <c r="D15" s="7" t="s">
        <v>39</v>
      </c>
      <c r="E15" s="7" t="s">
        <v>35</v>
      </c>
      <c r="F15" s="6" t="s">
        <v>40</v>
      </c>
      <c r="G15" s="7" t="str">
        <f t="shared" si="0"/>
        <v>ESC-05 // Escalera 5 - Cant peldaños</v>
      </c>
      <c r="H15" s="6">
        <v>1</v>
      </c>
      <c r="I15" s="2"/>
      <c r="J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3">
        <v>12</v>
      </c>
      <c r="B16" s="5">
        <v>46139</v>
      </c>
      <c r="C16" s="6" t="s">
        <v>20</v>
      </c>
      <c r="D16" s="7" t="s">
        <v>41</v>
      </c>
      <c r="E16" s="7" t="s">
        <v>35</v>
      </c>
      <c r="F16" s="6" t="s">
        <v>42</v>
      </c>
      <c r="G16" s="7" t="str">
        <f t="shared" si="0"/>
        <v>ESC01 // Escalera 1 - Cant peldaños</v>
      </c>
      <c r="H16" s="6">
        <v>1</v>
      </c>
      <c r="I16" s="2"/>
      <c r="J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3">
        <v>13</v>
      </c>
      <c r="B17" s="5">
        <v>46139</v>
      </c>
      <c r="C17" s="6" t="s">
        <v>20</v>
      </c>
      <c r="D17" s="7" t="s">
        <v>43</v>
      </c>
      <c r="E17" s="7" t="s">
        <v>35</v>
      </c>
      <c r="F17" s="6" t="s">
        <v>44</v>
      </c>
      <c r="G17" s="7" t="str">
        <f t="shared" si="0"/>
        <v>ESC02 // Escalera 2 - Cant peldaños</v>
      </c>
      <c r="H17" s="6">
        <v>1</v>
      </c>
      <c r="I17" s="2"/>
      <c r="J17" s="2"/>
      <c r="K17" s="2"/>
      <c r="L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3">
        <v>14</v>
      </c>
      <c r="B18" s="5">
        <v>46139</v>
      </c>
      <c r="C18" s="6" t="s">
        <v>8</v>
      </c>
      <c r="D18" s="7" t="s">
        <v>45</v>
      </c>
      <c r="E18" s="7" t="s">
        <v>46</v>
      </c>
      <c r="F18" s="6" t="s">
        <v>47</v>
      </c>
      <c r="G18" s="7" t="str">
        <f t="shared" si="0"/>
        <v>GA-01 // Garrafa - Negra</v>
      </c>
      <c r="H18" s="6">
        <v>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3">
        <v>15</v>
      </c>
      <c r="B19" s="5">
        <v>46139</v>
      </c>
      <c r="C19" s="6" t="s">
        <v>8</v>
      </c>
      <c r="D19" s="7" t="s">
        <v>45</v>
      </c>
      <c r="E19" s="7" t="s">
        <v>48</v>
      </c>
      <c r="F19" s="6" t="s">
        <v>49</v>
      </c>
      <c r="G19" s="7" t="str">
        <f t="shared" si="0"/>
        <v>GA-02 // Garrafa - Roja</v>
      </c>
      <c r="H19" s="6">
        <v>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3">
        <v>16</v>
      </c>
      <c r="B20" s="5">
        <v>46139</v>
      </c>
      <c r="C20" s="6" t="s">
        <v>8</v>
      </c>
      <c r="D20" s="7" t="s">
        <v>50</v>
      </c>
      <c r="E20" s="10"/>
      <c r="F20" s="6" t="s">
        <v>51</v>
      </c>
      <c r="G20" s="7" t="str">
        <f t="shared" si="0"/>
        <v xml:space="preserve">PI-01 // Pinza de identar - </v>
      </c>
      <c r="H20" s="6">
        <v>1</v>
      </c>
      <c r="I20" s="1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3">
        <v>17</v>
      </c>
      <c r="B21" s="5">
        <v>46139</v>
      </c>
      <c r="C21" s="6" t="s">
        <v>8</v>
      </c>
      <c r="D21" s="7" t="s">
        <v>50</v>
      </c>
      <c r="E21" s="12"/>
      <c r="F21" s="6" t="s">
        <v>52</v>
      </c>
      <c r="G21" s="7" t="str">
        <f t="shared" si="0"/>
        <v xml:space="preserve">PI-02 // Pinza de identar - </v>
      </c>
      <c r="H21" s="6">
        <v>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3">
        <v>17</v>
      </c>
      <c r="B22" s="5">
        <v>46139</v>
      </c>
      <c r="C22" s="6" t="s">
        <v>20</v>
      </c>
      <c r="D22" s="7" t="s">
        <v>53</v>
      </c>
      <c r="E22" s="7" t="s">
        <v>54</v>
      </c>
      <c r="F22" s="6" t="s">
        <v>55</v>
      </c>
      <c r="G22" s="7" t="str">
        <f t="shared" si="0"/>
        <v>RES-20-01 // Resorte - 20mm (3/4")</v>
      </c>
      <c r="H22" s="6">
        <v>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3">
        <v>18</v>
      </c>
      <c r="B23" s="5">
        <v>46139</v>
      </c>
      <c r="C23" s="6" t="s">
        <v>20</v>
      </c>
      <c r="D23" s="7" t="s">
        <v>53</v>
      </c>
      <c r="E23" s="7" t="s">
        <v>56</v>
      </c>
      <c r="F23" s="6" t="s">
        <v>57</v>
      </c>
      <c r="G23" s="7" t="str">
        <f t="shared" si="0"/>
        <v>RES-22-01 // Resorte - 22mm (7/8")</v>
      </c>
      <c r="H23" s="6">
        <v>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3">
        <v>19</v>
      </c>
      <c r="B24" s="5">
        <v>46139</v>
      </c>
      <c r="C24" s="6" t="s">
        <v>20</v>
      </c>
      <c r="D24" s="7" t="s">
        <v>53</v>
      </c>
      <c r="E24" s="7" t="s">
        <v>58</v>
      </c>
      <c r="F24" s="6" t="s">
        <v>59</v>
      </c>
      <c r="G24" s="7" t="str">
        <f t="shared" si="0"/>
        <v>RES-25-01 // Resorte - 25mm (1")</v>
      </c>
      <c r="H24" s="6">
        <v>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3">
        <v>20</v>
      </c>
      <c r="B25" s="5">
        <v>46139</v>
      </c>
      <c r="C25" s="6" t="s">
        <v>20</v>
      </c>
      <c r="D25" s="7" t="s">
        <v>60</v>
      </c>
      <c r="E25" s="7" t="s">
        <v>61</v>
      </c>
      <c r="F25" s="6" t="s">
        <v>62</v>
      </c>
      <c r="G25" s="7" t="str">
        <f t="shared" si="0"/>
        <v>RTD01 // Rotomartillo demoledor - Barovo</v>
      </c>
      <c r="H25" s="6">
        <v>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3">
        <v>21</v>
      </c>
      <c r="B26" s="5">
        <v>46139</v>
      </c>
      <c r="C26" s="6" t="s">
        <v>8</v>
      </c>
      <c r="D26" s="7" t="s">
        <v>63</v>
      </c>
      <c r="E26" s="7" t="s">
        <v>61</v>
      </c>
      <c r="F26" s="6" t="s">
        <v>64</v>
      </c>
      <c r="G26" s="7" t="str">
        <f t="shared" si="0"/>
        <v>RTP-01 // Rotomartillo percutor - Barovo</v>
      </c>
      <c r="H26" s="6">
        <v>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3">
        <v>22</v>
      </c>
      <c r="B27" s="5">
        <v>46139</v>
      </c>
      <c r="C27" s="6" t="s">
        <v>8</v>
      </c>
      <c r="D27" s="7" t="s">
        <v>65</v>
      </c>
      <c r="E27" s="10"/>
      <c r="F27" s="6" t="s">
        <v>66</v>
      </c>
      <c r="G27" s="7" t="str">
        <f t="shared" si="0"/>
        <v xml:space="preserve">TCC-01 // Tijera corta cable - </v>
      </c>
      <c r="H27" s="6">
        <v>1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3">
        <v>23</v>
      </c>
      <c r="B28" s="5">
        <v>46139</v>
      </c>
      <c r="C28" s="6" t="s">
        <v>8</v>
      </c>
      <c r="D28" s="7" t="s">
        <v>65</v>
      </c>
      <c r="E28" s="10"/>
      <c r="F28" s="6" t="s">
        <v>67</v>
      </c>
      <c r="G28" s="7" t="str">
        <f t="shared" si="0"/>
        <v xml:space="preserve">TCC-02 // Tijera corta cable - </v>
      </c>
      <c r="H28" s="6">
        <v>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3">
        <v>24</v>
      </c>
      <c r="B29" s="5">
        <v>46139</v>
      </c>
      <c r="C29" s="6" t="s">
        <v>12</v>
      </c>
      <c r="D29" s="7" t="s">
        <v>68</v>
      </c>
      <c r="E29" s="7" t="s">
        <v>22</v>
      </c>
      <c r="F29" s="6" t="s">
        <v>69</v>
      </c>
      <c r="G29" s="7" t="str">
        <f t="shared" si="0"/>
        <v>TP-01  // Taladro percutor - Total</v>
      </c>
      <c r="H29" s="6">
        <v>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3">
        <v>24</v>
      </c>
      <c r="B30" s="5">
        <v>46139</v>
      </c>
      <c r="C30" s="6" t="s">
        <v>15</v>
      </c>
      <c r="D30" s="7" t="s">
        <v>70</v>
      </c>
      <c r="E30" s="7" t="s">
        <v>61</v>
      </c>
      <c r="F30" s="6" t="s">
        <v>71</v>
      </c>
      <c r="G30" s="7" t="str">
        <f t="shared" si="0"/>
        <v>TP-02 // Taladro chico - Barovo</v>
      </c>
      <c r="H30" s="6">
        <v>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3">
        <v>24</v>
      </c>
      <c r="B31" s="5">
        <v>46139</v>
      </c>
      <c r="C31" s="6" t="s">
        <v>12</v>
      </c>
      <c r="D31" s="7" t="s">
        <v>72</v>
      </c>
      <c r="E31" s="7" t="s">
        <v>73</v>
      </c>
      <c r="F31" s="6" t="s">
        <v>74</v>
      </c>
      <c r="G31" s="7" t="str">
        <f t="shared" si="0"/>
        <v>TRP-01 // Taladro rotopercutor - Dewalt</v>
      </c>
      <c r="H31" s="6">
        <v>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3">
        <v>25</v>
      </c>
      <c r="B32" s="5">
        <v>46139</v>
      </c>
      <c r="C32" s="6" t="s">
        <v>15</v>
      </c>
      <c r="D32" s="7" t="s">
        <v>72</v>
      </c>
      <c r="E32" s="7" t="s">
        <v>61</v>
      </c>
      <c r="F32" s="6" t="s">
        <v>75</v>
      </c>
      <c r="G32" s="7" t="str">
        <f t="shared" si="0"/>
        <v>TRP-02 // Taladro rotopercutor - Barovo</v>
      </c>
      <c r="H32" s="6">
        <v>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3">
        <v>26</v>
      </c>
      <c r="B33" s="5">
        <v>46190</v>
      </c>
      <c r="C33" s="6" t="s">
        <v>76</v>
      </c>
      <c r="D33" s="6" t="s">
        <v>77</v>
      </c>
      <c r="E33" s="7" t="s">
        <v>35</v>
      </c>
      <c r="F33" s="6" t="s">
        <v>78</v>
      </c>
      <c r="G33" s="7" t="str">
        <f t="shared" si="0"/>
        <v>ESC-06 // Escalera - Cant peldaños</v>
      </c>
      <c r="H33" s="6">
        <v>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5">
      <c r="A1001" s="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5">
      <c r="A1002" s="4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25">
      <c r="A1003" s="4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1">
    <mergeCell ref="A1:I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2"/>
  <sheetViews>
    <sheetView topLeftCell="A3" workbookViewId="0">
      <selection sqref="A1:D1"/>
    </sheetView>
  </sheetViews>
  <sheetFormatPr baseColWidth="10" defaultColWidth="12.5703125" defaultRowHeight="15.75" customHeight="1" x14ac:dyDescent="0.2"/>
  <cols>
    <col min="2" max="2" width="29.5703125" customWidth="1"/>
    <col min="3" max="3" width="18.85546875" customWidth="1"/>
  </cols>
  <sheetData>
    <row r="1" spans="1:9" ht="57" customHeight="1" x14ac:dyDescent="0.35">
      <c r="A1" s="21"/>
      <c r="B1" s="20"/>
      <c r="C1" s="20"/>
      <c r="D1" s="20"/>
      <c r="E1" s="1"/>
      <c r="F1" s="1"/>
      <c r="G1" s="1"/>
      <c r="H1" s="1"/>
      <c r="I1" s="1"/>
    </row>
    <row r="2" spans="1:9" x14ac:dyDescent="0.2">
      <c r="B2" s="13" t="s">
        <v>79</v>
      </c>
      <c r="C2" s="14" t="s">
        <v>80</v>
      </c>
    </row>
    <row r="3" spans="1:9" ht="15" x14ac:dyDescent="0.2">
      <c r="B3" s="15" t="s">
        <v>81</v>
      </c>
      <c r="C3" s="15" t="s">
        <v>82</v>
      </c>
    </row>
    <row r="4" spans="1:9" ht="15" x14ac:dyDescent="0.2">
      <c r="B4" s="15" t="s">
        <v>83</v>
      </c>
      <c r="C4" s="15" t="s">
        <v>84</v>
      </c>
    </row>
    <row r="5" spans="1:9" ht="15" x14ac:dyDescent="0.2">
      <c r="B5" s="15" t="s">
        <v>85</v>
      </c>
      <c r="C5" s="15" t="s">
        <v>82</v>
      </c>
    </row>
    <row r="6" spans="1:9" ht="15" x14ac:dyDescent="0.2">
      <c r="B6" s="15" t="s">
        <v>86</v>
      </c>
      <c r="C6" s="15" t="s">
        <v>87</v>
      </c>
    </row>
    <row r="7" spans="1:9" ht="15" x14ac:dyDescent="0.2">
      <c r="B7" s="15" t="s">
        <v>88</v>
      </c>
      <c r="C7" s="15" t="s">
        <v>87</v>
      </c>
    </row>
    <row r="8" spans="1:9" x14ac:dyDescent="0.25">
      <c r="B8" s="15" t="s">
        <v>89</v>
      </c>
      <c r="C8" s="16" t="s">
        <v>90</v>
      </c>
    </row>
    <row r="9" spans="1:9" ht="15" x14ac:dyDescent="0.2">
      <c r="B9" s="15" t="s">
        <v>8</v>
      </c>
      <c r="C9" s="15" t="s">
        <v>82</v>
      </c>
    </row>
    <row r="10" spans="1:9" ht="15" x14ac:dyDescent="0.2">
      <c r="B10" s="15" t="s">
        <v>91</v>
      </c>
      <c r="C10" s="15" t="s">
        <v>92</v>
      </c>
    </row>
    <row r="11" spans="1:9" ht="15" x14ac:dyDescent="0.2">
      <c r="B11" s="15" t="s">
        <v>93</v>
      </c>
      <c r="C11" s="15" t="s">
        <v>94</v>
      </c>
    </row>
    <row r="12" spans="1:9" ht="15" x14ac:dyDescent="0.2">
      <c r="B12" s="15" t="s">
        <v>95</v>
      </c>
      <c r="C12" s="15" t="s">
        <v>96</v>
      </c>
    </row>
    <row r="13" spans="1:9" ht="15" x14ac:dyDescent="0.2">
      <c r="B13" s="15" t="s">
        <v>97</v>
      </c>
      <c r="C13" s="15" t="s">
        <v>87</v>
      </c>
    </row>
    <row r="14" spans="1:9" ht="15" x14ac:dyDescent="0.2">
      <c r="B14" s="15" t="s">
        <v>76</v>
      </c>
      <c r="C14" s="15" t="s">
        <v>98</v>
      </c>
    </row>
    <row r="15" spans="1:9" ht="15" x14ac:dyDescent="0.2">
      <c r="B15" s="15" t="s">
        <v>20</v>
      </c>
      <c r="C15" s="15" t="s">
        <v>20</v>
      </c>
    </row>
    <row r="16" spans="1:9" ht="15" x14ac:dyDescent="0.2">
      <c r="B16" s="15" t="s">
        <v>99</v>
      </c>
      <c r="C16" s="15" t="s">
        <v>100</v>
      </c>
    </row>
    <row r="17" spans="2:3" ht="15" x14ac:dyDescent="0.2">
      <c r="B17" s="15" t="s">
        <v>101</v>
      </c>
      <c r="C17" s="15" t="s">
        <v>102</v>
      </c>
    </row>
    <row r="18" spans="2:3" ht="15" x14ac:dyDescent="0.2">
      <c r="B18" s="15" t="s">
        <v>103</v>
      </c>
      <c r="C18" s="15" t="s">
        <v>82</v>
      </c>
    </row>
    <row r="19" spans="2:3" ht="15" x14ac:dyDescent="0.2">
      <c r="B19" s="15" t="s">
        <v>104</v>
      </c>
      <c r="C19" s="15" t="s">
        <v>92</v>
      </c>
    </row>
    <row r="20" spans="2:3" ht="15" x14ac:dyDescent="0.2">
      <c r="B20" s="15" t="s">
        <v>105</v>
      </c>
      <c r="C20" s="15" t="s">
        <v>106</v>
      </c>
    </row>
    <row r="21" spans="2:3" ht="15" x14ac:dyDescent="0.2">
      <c r="B21" s="15" t="s">
        <v>107</v>
      </c>
      <c r="C21" s="15" t="s">
        <v>108</v>
      </c>
    </row>
    <row r="22" spans="2:3" ht="15" x14ac:dyDescent="0.2">
      <c r="B22" s="15" t="s">
        <v>109</v>
      </c>
      <c r="C22" s="15" t="s">
        <v>110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34"/>
  <sheetViews>
    <sheetView tabSelected="1" workbookViewId="0">
      <selection activeCell="C19" sqref="C19"/>
    </sheetView>
  </sheetViews>
  <sheetFormatPr baseColWidth="10" defaultColWidth="12.5703125" defaultRowHeight="15.75" customHeight="1" x14ac:dyDescent="0.2"/>
  <cols>
    <col min="2" max="2" width="24.140625" customWidth="1"/>
    <col min="3" max="3" width="29.5703125" customWidth="1"/>
    <col min="4" max="4" width="25.42578125" customWidth="1"/>
  </cols>
  <sheetData>
    <row r="1" spans="1:6" ht="57" customHeight="1" x14ac:dyDescent="0.35">
      <c r="A1" s="21"/>
      <c r="B1" s="20"/>
      <c r="C1" s="20"/>
      <c r="D1" s="20"/>
      <c r="E1" s="1"/>
      <c r="F1" s="1"/>
    </row>
    <row r="2" spans="1:6" ht="19.5" x14ac:dyDescent="0.2">
      <c r="B2" s="17" t="s">
        <v>111</v>
      </c>
      <c r="C2" s="18" t="s">
        <v>112</v>
      </c>
      <c r="D2" s="18" t="s">
        <v>113</v>
      </c>
    </row>
    <row r="3" spans="1:6" ht="15" x14ac:dyDescent="0.2">
      <c r="B3" s="15" t="s">
        <v>114</v>
      </c>
      <c r="C3" s="15" t="s">
        <v>115</v>
      </c>
      <c r="D3" s="15" t="s">
        <v>81</v>
      </c>
    </row>
    <row r="4" spans="1:6" ht="15" x14ac:dyDescent="0.2">
      <c r="B4" s="15" t="s">
        <v>116</v>
      </c>
      <c r="C4" s="15" t="s">
        <v>117</v>
      </c>
      <c r="D4" s="15" t="s">
        <v>86</v>
      </c>
    </row>
    <row r="5" spans="1:6" ht="15" x14ac:dyDescent="0.2">
      <c r="B5" s="15" t="s">
        <v>114</v>
      </c>
      <c r="C5" s="15" t="s">
        <v>118</v>
      </c>
      <c r="D5" s="15" t="s">
        <v>76</v>
      </c>
    </row>
    <row r="6" spans="1:6" ht="15" x14ac:dyDescent="0.2">
      <c r="B6" s="15" t="s">
        <v>119</v>
      </c>
      <c r="C6" s="15" t="s">
        <v>120</v>
      </c>
      <c r="D6" s="15" t="s">
        <v>8</v>
      </c>
    </row>
    <row r="7" spans="1:6" ht="15" x14ac:dyDescent="0.2">
      <c r="B7" s="15" t="s">
        <v>121</v>
      </c>
      <c r="C7" s="15" t="s">
        <v>122</v>
      </c>
      <c r="D7" s="15" t="s">
        <v>83</v>
      </c>
    </row>
    <row r="8" spans="1:6" ht="15" x14ac:dyDescent="0.2">
      <c r="B8" s="15" t="s">
        <v>116</v>
      </c>
      <c r="C8" s="15" t="s">
        <v>123</v>
      </c>
      <c r="D8" s="15" t="s">
        <v>76</v>
      </c>
    </row>
    <row r="9" spans="1:6" ht="15" x14ac:dyDescent="0.2">
      <c r="B9" s="15" t="s">
        <v>114</v>
      </c>
      <c r="C9" s="15" t="s">
        <v>124</v>
      </c>
      <c r="D9" s="15" t="s">
        <v>125</v>
      </c>
    </row>
    <row r="10" spans="1:6" ht="15" x14ac:dyDescent="0.2">
      <c r="B10" s="15" t="s">
        <v>121</v>
      </c>
      <c r="C10" s="15" t="s">
        <v>126</v>
      </c>
      <c r="D10" s="15" t="s">
        <v>8</v>
      </c>
    </row>
    <row r="11" spans="1:6" ht="15" x14ac:dyDescent="0.2">
      <c r="B11" s="15" t="s">
        <v>121</v>
      </c>
      <c r="C11" s="15" t="s">
        <v>127</v>
      </c>
      <c r="D11" s="15" t="s">
        <v>86</v>
      </c>
    </row>
    <row r="12" spans="1:6" ht="15" x14ac:dyDescent="0.2">
      <c r="B12" s="15" t="s">
        <v>114</v>
      </c>
      <c r="C12" s="15" t="s">
        <v>128</v>
      </c>
      <c r="D12" s="15" t="s">
        <v>76</v>
      </c>
    </row>
    <row r="13" spans="1:6" ht="15" x14ac:dyDescent="0.2">
      <c r="B13" s="15" t="s">
        <v>114</v>
      </c>
      <c r="C13" s="15" t="s">
        <v>129</v>
      </c>
      <c r="D13" s="15" t="s">
        <v>89</v>
      </c>
    </row>
    <row r="14" spans="1:6" ht="15" x14ac:dyDescent="0.2">
      <c r="B14" s="15" t="s">
        <v>121</v>
      </c>
      <c r="C14" s="15" t="s">
        <v>130</v>
      </c>
      <c r="D14" s="15" t="s">
        <v>89</v>
      </c>
    </row>
    <row r="15" spans="1:6" ht="15" x14ac:dyDescent="0.2">
      <c r="B15" s="15" t="s">
        <v>119</v>
      </c>
      <c r="C15" s="15" t="s">
        <v>131</v>
      </c>
      <c r="D15" s="15" t="s">
        <v>20</v>
      </c>
    </row>
    <row r="16" spans="1:6" ht="15" x14ac:dyDescent="0.2">
      <c r="B16" s="15" t="s">
        <v>121</v>
      </c>
      <c r="C16" s="15" t="s">
        <v>132</v>
      </c>
      <c r="D16" s="15" t="s">
        <v>89</v>
      </c>
    </row>
    <row r="17" spans="2:4" ht="15" x14ac:dyDescent="0.2">
      <c r="B17" s="15" t="s">
        <v>119</v>
      </c>
      <c r="C17" s="15" t="s">
        <v>133</v>
      </c>
      <c r="D17" s="15" t="s">
        <v>125</v>
      </c>
    </row>
    <row r="18" spans="2:4" ht="15" x14ac:dyDescent="0.2">
      <c r="B18" s="15" t="s">
        <v>114</v>
      </c>
      <c r="C18" s="15" t="s">
        <v>134</v>
      </c>
      <c r="D18" s="15" t="s">
        <v>81</v>
      </c>
    </row>
    <row r="19" spans="2:4" ht="15" x14ac:dyDescent="0.2">
      <c r="B19" s="15" t="s">
        <v>114</v>
      </c>
      <c r="C19" s="15" t="s">
        <v>135</v>
      </c>
      <c r="D19" s="15" t="s">
        <v>76</v>
      </c>
    </row>
    <row r="20" spans="2:4" ht="15" x14ac:dyDescent="0.2">
      <c r="B20" s="15" t="s">
        <v>116</v>
      </c>
      <c r="C20" s="15" t="s">
        <v>136</v>
      </c>
      <c r="D20" s="15" t="s">
        <v>86</v>
      </c>
    </row>
    <row r="21" spans="2:4" ht="15" x14ac:dyDescent="0.2">
      <c r="B21" s="15" t="s">
        <v>116</v>
      </c>
      <c r="C21" s="15" t="s">
        <v>137</v>
      </c>
      <c r="D21" s="15" t="s">
        <v>76</v>
      </c>
    </row>
    <row r="22" spans="2:4" ht="15" x14ac:dyDescent="0.2">
      <c r="B22" s="15" t="s">
        <v>119</v>
      </c>
      <c r="C22" s="15" t="s">
        <v>138</v>
      </c>
      <c r="D22" s="15" t="s">
        <v>76</v>
      </c>
    </row>
    <row r="23" spans="2:4" ht="15" x14ac:dyDescent="0.2">
      <c r="B23" s="15" t="s">
        <v>119</v>
      </c>
      <c r="C23" s="15" t="s">
        <v>139</v>
      </c>
      <c r="D23" s="15" t="s">
        <v>76</v>
      </c>
    </row>
    <row r="24" spans="2:4" ht="15" x14ac:dyDescent="0.2">
      <c r="B24" s="15" t="s">
        <v>121</v>
      </c>
      <c r="C24" s="15" t="s">
        <v>140</v>
      </c>
      <c r="D24" s="15" t="s">
        <v>86</v>
      </c>
    </row>
    <row r="25" spans="2:4" ht="15" x14ac:dyDescent="0.2">
      <c r="B25" s="15" t="s">
        <v>116</v>
      </c>
      <c r="C25" s="15" t="s">
        <v>141</v>
      </c>
      <c r="D25" s="15" t="s">
        <v>76</v>
      </c>
    </row>
    <row r="26" spans="2:4" ht="15" x14ac:dyDescent="0.2">
      <c r="B26" s="15" t="s">
        <v>121</v>
      </c>
      <c r="C26" s="15" t="s">
        <v>142</v>
      </c>
      <c r="D26" s="15" t="s">
        <v>86</v>
      </c>
    </row>
    <row r="27" spans="2:4" ht="15" x14ac:dyDescent="0.2">
      <c r="B27" s="15" t="s">
        <v>121</v>
      </c>
      <c r="C27" s="15" t="s">
        <v>143</v>
      </c>
      <c r="D27" s="15" t="s">
        <v>8</v>
      </c>
    </row>
    <row r="28" spans="2:4" ht="15" x14ac:dyDescent="0.2">
      <c r="B28" s="15" t="s">
        <v>114</v>
      </c>
      <c r="C28" s="15" t="s">
        <v>144</v>
      </c>
      <c r="D28" s="15" t="s">
        <v>145</v>
      </c>
    </row>
    <row r="29" spans="2:4" ht="15" x14ac:dyDescent="0.2">
      <c r="B29" s="15" t="s">
        <v>119</v>
      </c>
      <c r="C29" s="15" t="s">
        <v>146</v>
      </c>
      <c r="D29" s="15" t="s">
        <v>109</v>
      </c>
    </row>
    <row r="30" spans="2:4" ht="15" x14ac:dyDescent="0.2">
      <c r="B30" s="15" t="s">
        <v>114</v>
      </c>
      <c r="C30" s="15" t="s">
        <v>147</v>
      </c>
      <c r="D30" s="15" t="s">
        <v>145</v>
      </c>
    </row>
    <row r="31" spans="2:4" ht="15" x14ac:dyDescent="0.2">
      <c r="B31" s="15" t="s">
        <v>114</v>
      </c>
      <c r="C31" s="15" t="s">
        <v>148</v>
      </c>
      <c r="D31" s="15" t="s">
        <v>86</v>
      </c>
    </row>
    <row r="32" spans="2:4" ht="15" x14ac:dyDescent="0.2">
      <c r="B32" s="15" t="s">
        <v>116</v>
      </c>
      <c r="C32" s="15" t="s">
        <v>149</v>
      </c>
      <c r="D32" s="15" t="s">
        <v>83</v>
      </c>
    </row>
    <row r="33" spans="2:4" ht="15" x14ac:dyDescent="0.2">
      <c r="B33" s="15" t="s">
        <v>114</v>
      </c>
      <c r="C33" s="15" t="s">
        <v>150</v>
      </c>
      <c r="D33" s="15" t="s">
        <v>125</v>
      </c>
    </row>
    <row r="34" spans="2:4" ht="15" x14ac:dyDescent="0.2">
      <c r="B34" s="15" t="s">
        <v>116</v>
      </c>
      <c r="C34" s="15" t="s">
        <v>151</v>
      </c>
      <c r="D34" s="15" t="s">
        <v>91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RELEVAMIENTO DE HERRAMIENTAS AL</vt:lpstr>
      <vt:lpstr>OBRAS ACTIVAS</vt:lpstr>
      <vt:lpstr>DDBB Operarios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Profesor Franco</cp:lastModifiedBy>
  <dcterms:modified xsi:type="dcterms:W3CDTF">2026-06-22T19:37:12Z</dcterms:modified>
</cp:coreProperties>
</file>